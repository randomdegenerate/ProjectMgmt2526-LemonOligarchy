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lantictu-my.sharepoint.com/personal/g00413670_atu_ie/Documents/Yr 3/Project Management/"/>
    </mc:Choice>
  </mc:AlternateContent>
  <xr:revisionPtr revIDLastSave="161" documentId="8_{724B4B64-7F6F-41D4-95D9-05313B570DE3}" xr6:coauthVersionLast="47" xr6:coauthVersionMax="47" xr10:uidLastSave="{9901C42A-E1F5-4253-8691-B7D9E7348F51}"/>
  <bookViews>
    <workbookView xWindow="-120" yWindow="-120" windowWidth="20730" windowHeight="11040" xr2:uid="{FCCF3CC9-759B-414B-85F8-8631717FE64E}"/>
  </bookViews>
  <sheets>
    <sheet name="Jira" sheetId="1" r:id="rId1"/>
  </sheets>
  <calcPr calcId="0"/>
</workbook>
</file>

<file path=xl/calcChain.xml><?xml version="1.0" encoding="utf-8"?>
<calcChain xmlns="http://schemas.openxmlformats.org/spreadsheetml/2006/main">
  <c r="D36" i="1" l="1"/>
  <c r="H34" i="1"/>
  <c r="K34" i="1"/>
  <c r="N34" i="1"/>
  <c r="Q27" i="1"/>
  <c r="N27" i="1"/>
  <c r="K27" i="1"/>
  <c r="H27" i="1"/>
</calcChain>
</file>

<file path=xl/sharedStrings.xml><?xml version="1.0" encoding="utf-8"?>
<sst xmlns="http://schemas.openxmlformats.org/spreadsheetml/2006/main" count="247" uniqueCount="94">
  <si>
    <t>Summary</t>
  </si>
  <si>
    <t>Issue key</t>
  </si>
  <si>
    <t>Priority</t>
  </si>
  <si>
    <t>LEMO-57</t>
  </si>
  <si>
    <t>Medium</t>
  </si>
  <si>
    <t>Account</t>
  </si>
  <si>
    <t>LEMO-56</t>
  </si>
  <si>
    <t>LEMO-55</t>
  </si>
  <si>
    <t>Portfolio</t>
  </si>
  <si>
    <t>LEMO-54</t>
  </si>
  <si>
    <t>LEMO-53</t>
  </si>
  <si>
    <t>LEMO-52</t>
  </si>
  <si>
    <t>LEMO-51</t>
  </si>
  <si>
    <t>LEMO-50</t>
  </si>
  <si>
    <t>LEMO-49</t>
  </si>
  <si>
    <t>LEMO-48</t>
  </si>
  <si>
    <t>LEMO-47</t>
  </si>
  <si>
    <t>LEMO-46</t>
  </si>
  <si>
    <t>LEMO-45</t>
  </si>
  <si>
    <t>LEMO-44</t>
  </si>
  <si>
    <t>LEMO-43</t>
  </si>
  <si>
    <t>LEMO-42</t>
  </si>
  <si>
    <t>Stocks</t>
  </si>
  <si>
    <t>LEMO-41</t>
  </si>
  <si>
    <t>LEMO-40</t>
  </si>
  <si>
    <t>LEMO-39</t>
  </si>
  <si>
    <t>LEMO-38</t>
  </si>
  <si>
    <t>LEMO-37</t>
  </si>
  <si>
    <t>LEMO-36</t>
  </si>
  <si>
    <t>LEMO-35</t>
  </si>
  <si>
    <t>LEMO-34</t>
  </si>
  <si>
    <t>LEMO-33</t>
  </si>
  <si>
    <t>LEMO-32</t>
  </si>
  <si>
    <t>LEMO-31</t>
  </si>
  <si>
    <t>LEMO-30</t>
  </si>
  <si>
    <t>LEMO-29</t>
  </si>
  <si>
    <t>LEMO-26</t>
  </si>
  <si>
    <t>Epic</t>
  </si>
  <si>
    <t>Story points</t>
  </si>
  <si>
    <t>Epics</t>
  </si>
  <si>
    <t>Backlog</t>
  </si>
  <si>
    <t>OOS</t>
  </si>
  <si>
    <t>Search Bar</t>
  </si>
  <si>
    <t>Graph</t>
  </si>
  <si>
    <t>V. Credits</t>
  </si>
  <si>
    <t>P. Dashboard</t>
  </si>
  <si>
    <t>S. Dashboard</t>
  </si>
  <si>
    <t>G. User Account</t>
  </si>
  <si>
    <t>P. User Account</t>
  </si>
  <si>
    <t>Register &amp; Sign in</t>
  </si>
  <si>
    <t>Total Story Points</t>
  </si>
  <si>
    <t>Release Plan</t>
  </si>
  <si>
    <t>Sprint 0</t>
  </si>
  <si>
    <t>Story Points</t>
  </si>
  <si>
    <t>Sprint 1</t>
  </si>
  <si>
    <t>Sprint 2</t>
  </si>
  <si>
    <t>filter stock searchs by categories to more easily find specific stocks</t>
  </si>
  <si>
    <t>set my location so that I can purchase stocks in my local currency &amp; see stocks relevant to my location</t>
  </si>
  <si>
    <t>navigate between app pages to be able to easily open other pages in the app</t>
  </si>
  <si>
    <t>log out of my account to have access to other accounts I have created</t>
  </si>
  <si>
    <t>change my password to adhere to proper security protocols</t>
  </si>
  <si>
    <t>make an account to access the app and save my information</t>
  </si>
  <si>
    <t>look at my stock order history to be able to see how many shares I have bought &amp; sold over time</t>
  </si>
  <si>
    <t>change my email to adhere to proper security protocols</t>
  </si>
  <si>
    <t>change my display name &amp; profile picture for fun</t>
  </si>
  <si>
    <t>erase my account so that i can start a new portfolio from the ground up</t>
  </si>
  <si>
    <t>permanently delete my account to remove all personal info in the case where i no longer want to use the app</t>
  </si>
  <si>
    <t>sign into my account to access the app &amp; look at my info</t>
  </si>
  <si>
    <t>view my portfolio's net worth to see how much progress my portfolio has made</t>
  </si>
  <si>
    <t>buy fake stocks at their current irl equivelant price to simulate what it's like to make purchases for a real stock portfolio</t>
  </si>
  <si>
    <t>see my total dividends from each stock I have holdings in to see how much I have earned per investment</t>
  </si>
  <si>
    <t>add virtual credits to my wallet so that i can purchase stocks</t>
  </si>
  <si>
    <t>compare my portfolio to popular investment funds to see how well my portfolio is doing in comparison</t>
  </si>
  <si>
    <t>liquidate my portfolio so that i can use my 'profits' to buy more stocks</t>
  </si>
  <si>
    <t>see my virtual portfolio grow like a real stock portfolio to show how a portfolio would move in an irl scenario</t>
  </si>
  <si>
    <t>search for stocks I have holdings in to find specific stocks I have invested in &amp; check on their performance</t>
  </si>
  <si>
    <t>view &amp; resize a graph displaying stock changes over a set period of time to check how much a stock has changed</t>
  </si>
  <si>
    <t>see which stocks are performing the best to know which stocks have the highest earning potential</t>
  </si>
  <si>
    <t>add stocks to a watchlist (favourites tab) so that I can easily access stocks I'm the most interested in</t>
  </si>
  <si>
    <t>relevant information on my dashboard to be informed on the newest info about stocks that i'm watching/tracking</t>
  </si>
  <si>
    <t>hover over specific points of the stock graph &amp; have a popup display of its price at that specific time in the graph so that i can access patterns or previous prices of a stock more clearly</t>
  </si>
  <si>
    <t>search for specific stocks to find &amp; look at the information of said stock</t>
  </si>
  <si>
    <t>view a live stock display/graph so that I can track how well a stock is doing</t>
  </si>
  <si>
    <t>change the app's appearance to see the app in my preferred theme</t>
  </si>
  <si>
    <t>portfolio to update even when I am not watching it to simulate what a real stock portfolio would act like</t>
  </si>
  <si>
    <t>Sprint 3</t>
  </si>
  <si>
    <t>Sprint 4</t>
  </si>
  <si>
    <t>Sprint 5</t>
  </si>
  <si>
    <t>done</t>
  </si>
  <si>
    <t>Sprint 6</t>
  </si>
  <si>
    <t>Left Over</t>
  </si>
  <si>
    <t>Total Pts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</si>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</sst>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0" fontId="19" fillId="0" borderId="0" xfId="0" applyFont="1"/>
    <xf numFmtId="0" fontId="19" fillId="0" borderId="0" xfId="0" applyFont="1" applyAlignment="1">
      <alignment horizontal="left"/>
    </xf>
    <xf numFmtId="0" fontId="18" fillId="0" borderId="0" xfId="0" applyFont="1"/>
    <xf numFmtId="0" fontId="18" fillId="0" borderId="15" xfId="0" applyFont="1" applyBorder="1"/>
    <xf numFmtId="0" fontId="18" fillId="0" borderId="17" xfId="0" applyFont="1" applyBorder="1"/>
    <xf numFmtId="0" fontId="18" fillId="0" borderId="16" xfId="0" applyFont="1" applyBorder="1"/>
    <xf numFmtId="0" fontId="18" fillId="0" borderId="0" xfId="0" applyFont="1" applyBorder="1"/>
    <xf numFmtId="0" fontId="18" fillId="0" borderId="18" xfId="0" applyFont="1" applyBorder="1"/>
    <xf numFmtId="0" fontId="18" fillId="0" borderId="19" xfId="0" applyFont="1" applyBorder="1"/>
    <xf numFmtId="0" fontId="18" fillId="0" borderId="19" xfId="0" applyFont="1" applyFill="1" applyBorder="1"/>
    <xf numFmtId="0" fontId="18" fillId="0" borderId="20" xfId="0" applyFont="1" applyBorder="1"/>
    <xf numFmtId="0" fontId="18" fillId="0" borderId="21" xfId="0" applyFont="1" applyBorder="1"/>
    <xf numFmtId="0" fontId="18" fillId="0" borderId="10" xfId="0" applyFont="1" applyBorder="1"/>
    <xf numFmtId="0" fontId="18" fillId="0" borderId="11" xfId="0" applyFont="1" applyBorder="1"/>
    <xf numFmtId="0" fontId="18" fillId="0" borderId="11" xfId="0" applyFont="1" applyBorder="1" applyAlignment="1">
      <alignment horizontal="right"/>
    </xf>
    <xf numFmtId="0" fontId="18" fillId="0" borderId="0" xfId="0" applyFont="1" applyFill="1" applyBorder="1"/>
    <xf numFmtId="0" fontId="18" fillId="0" borderId="13" xfId="0" applyFont="1" applyBorder="1"/>
    <xf numFmtId="0" fontId="18" fillId="0" borderId="18" xfId="0" applyFont="1" applyFill="1" applyBorder="1"/>
    <xf numFmtId="0" fontId="18" fillId="0" borderId="23" xfId="0" applyFont="1" applyBorder="1"/>
    <xf numFmtId="0" fontId="18" fillId="0" borderId="14" xfId="0" applyFont="1" applyBorder="1"/>
    <xf numFmtId="0" fontId="18" fillId="0" borderId="22" xfId="0" applyFont="1" applyBorder="1"/>
    <xf numFmtId="0" fontId="18" fillId="0" borderId="12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6B6F2-CEA5-4F2B-8AD3-E4352139221F}">
  <dimension ref="A2:BO36"/>
  <sheetViews>
    <sheetView tabSelected="1" topLeftCell="A2" zoomScale="83" workbookViewId="0">
      <selection activeCell="T17" sqref="T17"/>
    </sheetView>
  </sheetViews>
  <sheetFormatPr defaultRowHeight="15" x14ac:dyDescent="0.25"/>
  <cols>
    <col min="1" max="1" width="29.28515625" customWidth="1"/>
    <col min="7" max="18" width="10.5703125" customWidth="1"/>
    <col min="67" max="67" width="9.140625" customWidth="1"/>
  </cols>
  <sheetData>
    <row r="2" spans="1:67" ht="15.75" x14ac:dyDescent="0.25">
      <c r="A2" s="3" t="s">
        <v>40</v>
      </c>
      <c r="B2" s="3"/>
      <c r="C2" s="3"/>
      <c r="D2" s="3"/>
      <c r="E2" s="3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T2" s="1"/>
      <c r="U2" s="1"/>
      <c r="BO2" s="1"/>
    </row>
    <row r="3" spans="1:67" ht="15.75" x14ac:dyDescent="0.25">
      <c r="A3" s="3"/>
      <c r="B3" s="3"/>
      <c r="C3" s="3"/>
      <c r="D3" s="3"/>
      <c r="E3" s="3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T3" s="1"/>
      <c r="U3" s="1"/>
      <c r="BO3" s="1"/>
    </row>
    <row r="4" spans="1:67" ht="15.75" x14ac:dyDescent="0.25">
      <c r="A4" s="5" t="s">
        <v>0</v>
      </c>
      <c r="B4" s="5" t="s">
        <v>1</v>
      </c>
      <c r="C4" s="5" t="s">
        <v>2</v>
      </c>
      <c r="D4" s="5" t="s">
        <v>38</v>
      </c>
      <c r="E4" s="5" t="s">
        <v>39</v>
      </c>
      <c r="F4" s="5"/>
      <c r="G4" s="6" t="s">
        <v>42</v>
      </c>
      <c r="H4" s="7"/>
      <c r="I4" s="8" t="s">
        <v>43</v>
      </c>
      <c r="J4" s="7"/>
      <c r="K4" s="8" t="s">
        <v>44</v>
      </c>
      <c r="L4" s="7"/>
      <c r="M4" s="8" t="s">
        <v>49</v>
      </c>
      <c r="N4" s="7"/>
      <c r="O4" s="5"/>
      <c r="P4" s="5"/>
      <c r="Q4" s="5"/>
      <c r="R4" s="5"/>
      <c r="T4" s="1"/>
      <c r="U4" s="1"/>
      <c r="BO4" s="1"/>
    </row>
    <row r="5" spans="1:67" ht="15.75" x14ac:dyDescent="0.25">
      <c r="A5" s="9" t="s">
        <v>59</v>
      </c>
      <c r="B5" s="9" t="s">
        <v>3</v>
      </c>
      <c r="C5" s="9" t="s">
        <v>92</v>
      </c>
      <c r="D5" s="9">
        <v>3</v>
      </c>
      <c r="E5" s="9" t="s">
        <v>5</v>
      </c>
      <c r="F5" s="5"/>
      <c r="G5" s="10" t="s">
        <v>29</v>
      </c>
      <c r="H5" s="11"/>
      <c r="I5" s="9" t="s">
        <v>21</v>
      </c>
      <c r="J5" s="11"/>
      <c r="K5" s="9" t="s">
        <v>11</v>
      </c>
      <c r="L5" s="11"/>
      <c r="M5" s="9" t="s">
        <v>3</v>
      </c>
      <c r="N5" s="11"/>
      <c r="O5" s="5"/>
      <c r="P5" s="5"/>
      <c r="Q5" s="5"/>
      <c r="R5" s="5"/>
      <c r="T5" s="1"/>
      <c r="U5" s="1"/>
      <c r="BO5" s="1"/>
    </row>
    <row r="6" spans="1:67" ht="15.75" x14ac:dyDescent="0.25">
      <c r="A6" s="9" t="s">
        <v>60</v>
      </c>
      <c r="B6" s="9" t="s">
        <v>6</v>
      </c>
      <c r="C6" s="9" t="s">
        <v>4</v>
      </c>
      <c r="D6" s="9">
        <v>1</v>
      </c>
      <c r="E6" s="9" t="s">
        <v>5</v>
      </c>
      <c r="F6" s="5"/>
      <c r="G6" s="10" t="s">
        <v>30</v>
      </c>
      <c r="H6" s="11"/>
      <c r="I6" s="9" t="s">
        <v>32</v>
      </c>
      <c r="J6" s="11"/>
      <c r="K6" s="9" t="s">
        <v>20</v>
      </c>
      <c r="L6" s="12" t="s">
        <v>88</v>
      </c>
      <c r="M6" s="9" t="s">
        <v>9</v>
      </c>
      <c r="N6" s="11"/>
      <c r="O6" s="5"/>
      <c r="P6" s="5"/>
      <c r="Q6" s="5"/>
      <c r="R6" s="5"/>
      <c r="T6" s="1"/>
      <c r="U6" s="1"/>
      <c r="BO6" s="1"/>
    </row>
    <row r="7" spans="1:67" ht="15.75" x14ac:dyDescent="0.25">
      <c r="A7" s="9" t="s">
        <v>61</v>
      </c>
      <c r="B7" s="9" t="s">
        <v>9</v>
      </c>
      <c r="C7" s="9" t="s">
        <v>92</v>
      </c>
      <c r="D7" s="9">
        <v>8</v>
      </c>
      <c r="E7" s="9" t="s">
        <v>5</v>
      </c>
      <c r="F7" s="5"/>
      <c r="G7" s="10" t="s">
        <v>34</v>
      </c>
      <c r="H7" s="11"/>
      <c r="I7" s="9" t="s">
        <v>36</v>
      </c>
      <c r="J7" s="12" t="s">
        <v>88</v>
      </c>
      <c r="K7" s="9" t="s">
        <v>26</v>
      </c>
      <c r="L7" s="11"/>
      <c r="M7" s="9" t="s">
        <v>18</v>
      </c>
      <c r="N7" s="12" t="s">
        <v>88</v>
      </c>
      <c r="O7" s="5"/>
      <c r="P7" s="5"/>
      <c r="Q7" s="5"/>
      <c r="R7" s="5"/>
      <c r="T7" s="1"/>
      <c r="U7" s="1"/>
      <c r="BO7" s="1"/>
    </row>
    <row r="8" spans="1:67" ht="15" customHeight="1" x14ac:dyDescent="0.25">
      <c r="A8" s="9" t="s">
        <v>62</v>
      </c>
      <c r="B8" s="9" t="s">
        <v>10</v>
      </c>
      <c r="C8" s="9" t="s">
        <v>4</v>
      </c>
      <c r="D8" s="9">
        <v>5</v>
      </c>
      <c r="E8" s="9" t="s">
        <v>5</v>
      </c>
      <c r="F8" s="5"/>
      <c r="G8" s="10" t="s">
        <v>33</v>
      </c>
      <c r="H8" s="11"/>
      <c r="I8" s="9"/>
      <c r="J8" s="11"/>
      <c r="K8" s="9"/>
      <c r="L8" s="11"/>
      <c r="M8" s="9"/>
      <c r="N8" s="11"/>
      <c r="O8" s="5"/>
      <c r="P8" s="5"/>
      <c r="Q8" s="5"/>
      <c r="R8" s="5"/>
      <c r="T8" s="1"/>
      <c r="U8" s="1"/>
      <c r="V8" s="1"/>
      <c r="BJ8" s="2"/>
      <c r="BO8" s="1"/>
    </row>
    <row r="9" spans="1:67" ht="15.75" x14ac:dyDescent="0.25">
      <c r="A9" s="9" t="s">
        <v>63</v>
      </c>
      <c r="B9" s="9" t="s">
        <v>12</v>
      </c>
      <c r="C9" s="9" t="s">
        <v>93</v>
      </c>
      <c r="D9" s="9"/>
      <c r="E9" s="9" t="s">
        <v>5</v>
      </c>
      <c r="F9" s="5"/>
      <c r="G9" s="13"/>
      <c r="H9" s="14"/>
      <c r="I9" s="15"/>
      <c r="J9" s="14"/>
      <c r="K9" s="15"/>
      <c r="L9" s="14"/>
      <c r="M9" s="15"/>
      <c r="N9" s="14"/>
      <c r="O9" s="5"/>
      <c r="P9" s="5"/>
      <c r="Q9" s="5"/>
      <c r="R9" s="5"/>
      <c r="T9" s="1"/>
      <c r="U9" s="1"/>
      <c r="BO9" s="1"/>
    </row>
    <row r="10" spans="1:67" ht="15.75" x14ac:dyDescent="0.25">
      <c r="A10" s="9" t="s">
        <v>64</v>
      </c>
      <c r="B10" s="9" t="s">
        <v>13</v>
      </c>
      <c r="C10" s="9" t="s">
        <v>93</v>
      </c>
      <c r="D10" s="9">
        <v>3</v>
      </c>
      <c r="E10" s="9" t="s">
        <v>5</v>
      </c>
      <c r="F10" s="5"/>
      <c r="G10" s="6" t="s">
        <v>45</v>
      </c>
      <c r="H10" s="7"/>
      <c r="I10" s="8" t="s">
        <v>46</v>
      </c>
      <c r="J10" s="7"/>
      <c r="K10" s="8" t="s">
        <v>47</v>
      </c>
      <c r="L10" s="7"/>
      <c r="M10" s="8" t="s">
        <v>48</v>
      </c>
      <c r="N10" s="7"/>
      <c r="O10" s="5"/>
      <c r="P10" s="5"/>
      <c r="Q10" s="5"/>
      <c r="R10" s="5"/>
      <c r="T10" s="1"/>
      <c r="U10" s="1"/>
      <c r="BO10" s="1"/>
    </row>
    <row r="11" spans="1:67" ht="15.75" x14ac:dyDescent="0.25">
      <c r="A11" s="9" t="s">
        <v>65</v>
      </c>
      <c r="B11" s="9" t="s">
        <v>14</v>
      </c>
      <c r="C11" s="9" t="s">
        <v>4</v>
      </c>
      <c r="D11" s="9">
        <v>2</v>
      </c>
      <c r="E11" s="9" t="s">
        <v>5</v>
      </c>
      <c r="F11" s="5"/>
      <c r="G11" s="10" t="s">
        <v>7</v>
      </c>
      <c r="H11" s="11"/>
      <c r="I11" s="9" t="s">
        <v>27</v>
      </c>
      <c r="J11" s="11"/>
      <c r="K11" s="9" t="s">
        <v>6</v>
      </c>
      <c r="L11" s="11"/>
      <c r="M11" s="9" t="s">
        <v>10</v>
      </c>
      <c r="N11" s="11"/>
      <c r="O11" s="5"/>
      <c r="P11" s="5"/>
      <c r="Q11" s="5"/>
      <c r="R11" s="5"/>
      <c r="T11" s="1"/>
      <c r="U11" s="1"/>
      <c r="BO11" s="1"/>
    </row>
    <row r="12" spans="1:67" ht="15.75" x14ac:dyDescent="0.25">
      <c r="A12" s="9" t="s">
        <v>66</v>
      </c>
      <c r="B12" s="9" t="s">
        <v>16</v>
      </c>
      <c r="C12" s="9" t="s">
        <v>4</v>
      </c>
      <c r="D12" s="9">
        <v>2</v>
      </c>
      <c r="E12" s="9" t="s">
        <v>5</v>
      </c>
      <c r="F12" s="5"/>
      <c r="G12" s="10" t="s">
        <v>15</v>
      </c>
      <c r="H12" s="11"/>
      <c r="I12" s="9" t="s">
        <v>31</v>
      </c>
      <c r="J12" s="11"/>
      <c r="K12" s="9" t="s">
        <v>12</v>
      </c>
      <c r="L12" s="11"/>
      <c r="M12" s="9" t="s">
        <v>14</v>
      </c>
      <c r="N12" s="11"/>
      <c r="O12" s="5"/>
      <c r="P12" s="5"/>
      <c r="Q12" s="5"/>
      <c r="R12" s="5"/>
      <c r="T12" s="1"/>
      <c r="U12" s="1"/>
      <c r="BO12" s="1"/>
    </row>
    <row r="13" spans="1:67" ht="15.75" x14ac:dyDescent="0.25">
      <c r="A13" s="9" t="s">
        <v>67</v>
      </c>
      <c r="B13" s="9" t="s">
        <v>18</v>
      </c>
      <c r="C13" s="9" t="s">
        <v>92</v>
      </c>
      <c r="D13" s="9">
        <v>5</v>
      </c>
      <c r="E13" s="9" t="s">
        <v>5</v>
      </c>
      <c r="F13" s="5"/>
      <c r="G13" s="10" t="s">
        <v>17</v>
      </c>
      <c r="H13" s="11"/>
      <c r="I13" s="9" t="s">
        <v>23</v>
      </c>
      <c r="J13" s="11"/>
      <c r="K13" s="9" t="s">
        <v>13</v>
      </c>
      <c r="L13" s="11"/>
      <c r="M13" s="9"/>
      <c r="N13" s="11"/>
      <c r="O13" s="5"/>
      <c r="P13" s="5"/>
      <c r="Q13" s="5"/>
      <c r="R13" s="5"/>
      <c r="T13" s="1"/>
      <c r="U13" s="1"/>
      <c r="BO13" s="1"/>
    </row>
    <row r="14" spans="1:67" ht="16.5" thickBot="1" x14ac:dyDescent="0.3">
      <c r="A14" s="16" t="s">
        <v>83</v>
      </c>
      <c r="B14" s="16" t="s">
        <v>19</v>
      </c>
      <c r="C14" s="16" t="s">
        <v>93</v>
      </c>
      <c r="D14" s="17" t="s">
        <v>41</v>
      </c>
      <c r="E14" s="16" t="s">
        <v>5</v>
      </c>
      <c r="F14" s="5"/>
      <c r="G14" s="10" t="s">
        <v>24</v>
      </c>
      <c r="H14" s="11"/>
      <c r="I14" s="18" t="s">
        <v>36</v>
      </c>
      <c r="J14" s="12" t="s">
        <v>88</v>
      </c>
      <c r="K14" s="9" t="s">
        <v>16</v>
      </c>
      <c r="L14" s="11"/>
      <c r="M14" s="9"/>
      <c r="N14" s="11"/>
      <c r="O14" s="5"/>
      <c r="P14" s="5"/>
      <c r="Q14" s="5"/>
      <c r="R14" s="5"/>
      <c r="T14" s="1"/>
      <c r="U14" s="1"/>
      <c r="BO14" s="1"/>
    </row>
    <row r="15" spans="1:67" ht="15" customHeight="1" x14ac:dyDescent="0.25">
      <c r="A15" s="19" t="s">
        <v>68</v>
      </c>
      <c r="B15" s="19" t="s">
        <v>7</v>
      </c>
      <c r="C15" s="19" t="s">
        <v>92</v>
      </c>
      <c r="D15" s="19">
        <v>3</v>
      </c>
      <c r="E15" s="19" t="s">
        <v>8</v>
      </c>
      <c r="F15" s="5"/>
      <c r="G15" s="10" t="s">
        <v>28</v>
      </c>
      <c r="H15" s="11"/>
      <c r="I15" s="9"/>
      <c r="J15" s="11"/>
      <c r="K15" s="9"/>
      <c r="L15" s="11"/>
      <c r="M15" s="9"/>
      <c r="N15" s="11"/>
      <c r="O15" s="5"/>
      <c r="P15" s="5"/>
      <c r="Q15" s="5"/>
      <c r="R15" s="5"/>
      <c r="T15" s="1"/>
      <c r="U15" s="1"/>
      <c r="BI15" s="2"/>
      <c r="BO15" s="1"/>
    </row>
    <row r="16" spans="1:67" ht="15.75" x14ac:dyDescent="0.25">
      <c r="A16" s="9" t="s">
        <v>69</v>
      </c>
      <c r="B16" s="9" t="s">
        <v>11</v>
      </c>
      <c r="C16" s="9" t="s">
        <v>92</v>
      </c>
      <c r="D16" s="9">
        <v>13</v>
      </c>
      <c r="E16" s="9" t="s">
        <v>8</v>
      </c>
      <c r="F16" s="5"/>
      <c r="G16" s="10" t="s">
        <v>35</v>
      </c>
      <c r="H16" s="11"/>
      <c r="I16" s="9"/>
      <c r="J16" s="11"/>
      <c r="K16" s="9"/>
      <c r="L16" s="11"/>
      <c r="M16" s="9"/>
      <c r="N16" s="11"/>
      <c r="O16" s="5"/>
      <c r="P16" s="5"/>
      <c r="Q16" s="5"/>
      <c r="R16" s="5"/>
      <c r="T16" s="1"/>
      <c r="U16" s="1"/>
      <c r="BO16" s="1"/>
    </row>
    <row r="17" spans="1:67" ht="15.75" x14ac:dyDescent="0.25">
      <c r="A17" s="9" t="s">
        <v>84</v>
      </c>
      <c r="B17" s="9" t="s">
        <v>15</v>
      </c>
      <c r="C17" s="9" t="s">
        <v>92</v>
      </c>
      <c r="D17" s="9">
        <v>5</v>
      </c>
      <c r="E17" s="9" t="s">
        <v>8</v>
      </c>
      <c r="F17" s="5"/>
      <c r="G17" s="13" t="s">
        <v>23</v>
      </c>
      <c r="H17" s="14"/>
      <c r="I17" s="15"/>
      <c r="J17" s="14"/>
      <c r="K17" s="15"/>
      <c r="L17" s="14"/>
      <c r="M17" s="15"/>
      <c r="N17" s="14"/>
      <c r="O17" s="5"/>
      <c r="P17" s="5"/>
      <c r="Q17" s="5"/>
      <c r="R17" s="5"/>
      <c r="T17" s="1"/>
      <c r="U17" s="1"/>
      <c r="BO17" s="1"/>
    </row>
    <row r="18" spans="1:67" ht="15.75" x14ac:dyDescent="0.25">
      <c r="A18" s="9" t="s">
        <v>70</v>
      </c>
      <c r="B18" s="9" t="s">
        <v>17</v>
      </c>
      <c r="C18" s="9" t="s">
        <v>92</v>
      </c>
      <c r="D18" s="9">
        <v>5</v>
      </c>
      <c r="E18" s="9" t="s">
        <v>8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T18" s="1"/>
      <c r="U18" s="1"/>
      <c r="BO18" s="1"/>
    </row>
    <row r="19" spans="1:67" ht="15.75" x14ac:dyDescent="0.25">
      <c r="A19" s="9" t="s">
        <v>71</v>
      </c>
      <c r="B19" s="9" t="s">
        <v>20</v>
      </c>
      <c r="C19" s="9" t="s">
        <v>92</v>
      </c>
      <c r="D19" s="9">
        <v>2</v>
      </c>
      <c r="E19" s="9" t="s">
        <v>8</v>
      </c>
      <c r="F19" s="5"/>
      <c r="G19" s="4" t="s">
        <v>51</v>
      </c>
      <c r="H19" s="4"/>
      <c r="I19" s="4"/>
      <c r="J19" s="4"/>
      <c r="K19" s="4"/>
      <c r="L19" s="5"/>
      <c r="M19" s="5"/>
      <c r="N19" s="5"/>
      <c r="O19" s="5"/>
      <c r="P19" s="5"/>
      <c r="Q19" s="5"/>
      <c r="R19" s="5"/>
      <c r="T19" s="1"/>
      <c r="U19" s="1"/>
      <c r="BO19" s="1"/>
    </row>
    <row r="20" spans="1:67" ht="15" customHeight="1" x14ac:dyDescent="0.25">
      <c r="A20" s="9" t="s">
        <v>72</v>
      </c>
      <c r="B20" s="9" t="s">
        <v>24</v>
      </c>
      <c r="C20" s="9" t="s">
        <v>4</v>
      </c>
      <c r="D20" s="9">
        <v>2</v>
      </c>
      <c r="E20" s="9" t="s">
        <v>8</v>
      </c>
      <c r="F20" s="5"/>
      <c r="G20" s="4"/>
      <c r="H20" s="4"/>
      <c r="I20" s="4"/>
      <c r="J20" s="4"/>
      <c r="K20" s="4"/>
      <c r="L20" s="5"/>
      <c r="M20" s="5"/>
      <c r="N20" s="5"/>
      <c r="O20" s="5"/>
      <c r="P20" s="5"/>
      <c r="Q20" s="5"/>
      <c r="R20" s="5"/>
      <c r="T20" s="1"/>
      <c r="U20" s="1"/>
      <c r="BI20" s="2"/>
      <c r="BO20" s="1"/>
    </row>
    <row r="21" spans="1:67" ht="15.75" x14ac:dyDescent="0.25">
      <c r="A21" s="9" t="s">
        <v>73</v>
      </c>
      <c r="B21" s="9" t="s">
        <v>26</v>
      </c>
      <c r="C21" s="9" t="s">
        <v>4</v>
      </c>
      <c r="D21" s="9">
        <v>3</v>
      </c>
      <c r="E21" s="9" t="s">
        <v>8</v>
      </c>
      <c r="F21" s="5"/>
      <c r="G21" s="6" t="s">
        <v>52</v>
      </c>
      <c r="H21" s="8" t="s">
        <v>53</v>
      </c>
      <c r="I21" s="7" t="s">
        <v>37</v>
      </c>
      <c r="J21" s="6" t="s">
        <v>54</v>
      </c>
      <c r="K21" s="8" t="s">
        <v>53</v>
      </c>
      <c r="L21" s="7" t="s">
        <v>37</v>
      </c>
      <c r="M21" s="6" t="s">
        <v>55</v>
      </c>
      <c r="N21" s="8" t="s">
        <v>53</v>
      </c>
      <c r="O21" s="7" t="s">
        <v>37</v>
      </c>
      <c r="P21" s="6" t="s">
        <v>85</v>
      </c>
      <c r="Q21" s="8" t="s">
        <v>53</v>
      </c>
      <c r="R21" s="7" t="s">
        <v>37</v>
      </c>
      <c r="T21" s="1"/>
      <c r="U21" s="1"/>
      <c r="BO21" s="1"/>
    </row>
    <row r="22" spans="1:67" ht="15.75" x14ac:dyDescent="0.25">
      <c r="A22" s="9" t="s">
        <v>74</v>
      </c>
      <c r="B22" s="9" t="s">
        <v>28</v>
      </c>
      <c r="C22" s="9" t="s">
        <v>92</v>
      </c>
      <c r="D22" s="9">
        <v>8</v>
      </c>
      <c r="E22" s="9" t="s">
        <v>8</v>
      </c>
      <c r="F22" s="5"/>
      <c r="G22" s="10" t="s">
        <v>3</v>
      </c>
      <c r="H22" s="9">
        <v>3</v>
      </c>
      <c r="I22" s="11" t="s">
        <v>5</v>
      </c>
      <c r="J22" s="10" t="s">
        <v>27</v>
      </c>
      <c r="K22" s="9">
        <v>3</v>
      </c>
      <c r="L22" s="11" t="s">
        <v>22</v>
      </c>
      <c r="M22" s="10" t="s">
        <v>21</v>
      </c>
      <c r="N22" s="9">
        <v>8</v>
      </c>
      <c r="O22" s="11" t="s">
        <v>22</v>
      </c>
      <c r="P22" s="10" t="s">
        <v>29</v>
      </c>
      <c r="Q22" s="9">
        <v>5</v>
      </c>
      <c r="R22" s="11" t="s">
        <v>8</v>
      </c>
      <c r="T22" s="1"/>
      <c r="U22" s="1"/>
      <c r="BO22" s="1"/>
    </row>
    <row r="23" spans="1:67" ht="15.75" x14ac:dyDescent="0.25">
      <c r="A23" s="9" t="s">
        <v>75</v>
      </c>
      <c r="B23" s="9" t="s">
        <v>29</v>
      </c>
      <c r="C23" s="9" t="s">
        <v>4</v>
      </c>
      <c r="D23" s="9">
        <v>5</v>
      </c>
      <c r="E23" s="9" t="s">
        <v>8</v>
      </c>
      <c r="F23" s="5"/>
      <c r="G23" s="10" t="s">
        <v>9</v>
      </c>
      <c r="H23" s="9">
        <v>8</v>
      </c>
      <c r="I23" s="11" t="s">
        <v>5</v>
      </c>
      <c r="J23" s="10" t="s">
        <v>31</v>
      </c>
      <c r="K23" s="9">
        <v>5</v>
      </c>
      <c r="L23" s="11" t="s">
        <v>22</v>
      </c>
      <c r="M23" s="10" t="s">
        <v>32</v>
      </c>
      <c r="N23" s="9">
        <v>8</v>
      </c>
      <c r="O23" s="11" t="s">
        <v>22</v>
      </c>
      <c r="P23" s="10" t="s">
        <v>30</v>
      </c>
      <c r="Q23" s="9">
        <v>5</v>
      </c>
      <c r="R23" s="11" t="s">
        <v>22</v>
      </c>
      <c r="T23" s="1"/>
      <c r="U23" s="1"/>
      <c r="BO23" s="1"/>
    </row>
    <row r="24" spans="1:67" ht="16.5" thickBot="1" x14ac:dyDescent="0.3">
      <c r="A24" s="16" t="s">
        <v>68</v>
      </c>
      <c r="B24" s="16" t="s">
        <v>35</v>
      </c>
      <c r="C24" s="16" t="s">
        <v>92</v>
      </c>
      <c r="D24" s="16">
        <v>5</v>
      </c>
      <c r="E24" s="16" t="s">
        <v>8</v>
      </c>
      <c r="F24" s="5"/>
      <c r="G24" s="10" t="s">
        <v>18</v>
      </c>
      <c r="H24" s="9">
        <v>5</v>
      </c>
      <c r="I24" s="11" t="s">
        <v>5</v>
      </c>
      <c r="J24" s="10" t="s">
        <v>23</v>
      </c>
      <c r="K24" s="9">
        <v>3</v>
      </c>
      <c r="L24" s="11" t="s">
        <v>22</v>
      </c>
      <c r="M24" s="20" t="s">
        <v>20</v>
      </c>
      <c r="N24" s="9">
        <v>2</v>
      </c>
      <c r="O24" s="11" t="s">
        <v>8</v>
      </c>
      <c r="P24" s="10" t="s">
        <v>34</v>
      </c>
      <c r="Q24" s="9">
        <v>13</v>
      </c>
      <c r="R24" s="11" t="s">
        <v>22</v>
      </c>
      <c r="T24" s="1"/>
      <c r="U24" s="1"/>
      <c r="BO24" s="1"/>
    </row>
    <row r="25" spans="1:67" ht="15.75" x14ac:dyDescent="0.25">
      <c r="A25" s="19" t="s">
        <v>76</v>
      </c>
      <c r="B25" s="19" t="s">
        <v>21</v>
      </c>
      <c r="C25" s="19" t="s">
        <v>92</v>
      </c>
      <c r="D25" s="19">
        <v>8</v>
      </c>
      <c r="E25" s="19" t="s">
        <v>22</v>
      </c>
      <c r="F25" s="5"/>
      <c r="G25" s="10"/>
      <c r="H25" s="9"/>
      <c r="I25" s="11"/>
      <c r="J25" s="20" t="s">
        <v>36</v>
      </c>
      <c r="K25" s="9">
        <v>5</v>
      </c>
      <c r="L25" s="11" t="s">
        <v>22</v>
      </c>
      <c r="M25" s="10"/>
      <c r="N25" s="9"/>
      <c r="O25" s="11"/>
      <c r="P25" s="10"/>
      <c r="Q25" s="9"/>
      <c r="R25" s="11"/>
      <c r="T25" s="1"/>
      <c r="U25" s="1"/>
      <c r="BO25" s="1"/>
    </row>
    <row r="26" spans="1:67" ht="15.75" x14ac:dyDescent="0.25">
      <c r="A26" s="9" t="s">
        <v>77</v>
      </c>
      <c r="B26" s="9" t="s">
        <v>27</v>
      </c>
      <c r="C26" s="9" t="s">
        <v>4</v>
      </c>
      <c r="D26" s="9">
        <v>3</v>
      </c>
      <c r="E26" s="9" t="s">
        <v>22</v>
      </c>
      <c r="F26" s="5"/>
      <c r="G26" s="13"/>
      <c r="H26" s="15"/>
      <c r="I26" s="14"/>
      <c r="J26" s="13"/>
      <c r="K26" s="15"/>
      <c r="L26" s="14"/>
      <c r="M26" s="13"/>
      <c r="N26" s="15"/>
      <c r="O26" s="14"/>
      <c r="P26" s="13"/>
      <c r="Q26" s="15"/>
      <c r="R26" s="14"/>
      <c r="T26" s="1"/>
      <c r="U26" s="1"/>
      <c r="BO26" s="1"/>
    </row>
    <row r="27" spans="1:67" ht="16.5" thickBot="1" x14ac:dyDescent="0.3">
      <c r="A27" s="9" t="s">
        <v>78</v>
      </c>
      <c r="B27" s="9" t="s">
        <v>30</v>
      </c>
      <c r="C27" s="9" t="s">
        <v>4</v>
      </c>
      <c r="D27" s="9">
        <v>5</v>
      </c>
      <c r="E27" s="9" t="s">
        <v>22</v>
      </c>
      <c r="F27" s="5"/>
      <c r="G27" s="21" t="s">
        <v>91</v>
      </c>
      <c r="H27" s="22">
        <f>H22+H23+H24</f>
        <v>16</v>
      </c>
      <c r="I27" s="23"/>
      <c r="J27" s="21" t="s">
        <v>91</v>
      </c>
      <c r="K27" s="22">
        <f>SUM(K22:K25)</f>
        <v>16</v>
      </c>
      <c r="L27" s="23"/>
      <c r="M27" s="21" t="s">
        <v>91</v>
      </c>
      <c r="N27" s="22">
        <f>SUM(N22:N25)</f>
        <v>18</v>
      </c>
      <c r="O27" s="23"/>
      <c r="P27" s="21" t="s">
        <v>91</v>
      </c>
      <c r="Q27" s="22">
        <f>SUM(Q22:Q25)</f>
        <v>23</v>
      </c>
      <c r="R27" s="23"/>
      <c r="T27" s="1"/>
      <c r="U27" s="1"/>
      <c r="V27" s="1"/>
      <c r="BO27" s="1"/>
    </row>
    <row r="28" spans="1:67" ht="15" customHeight="1" x14ac:dyDescent="0.25">
      <c r="A28" s="9" t="s">
        <v>79</v>
      </c>
      <c r="B28" s="9" t="s">
        <v>31</v>
      </c>
      <c r="C28" s="9" t="s">
        <v>92</v>
      </c>
      <c r="D28" s="9">
        <v>5</v>
      </c>
      <c r="E28" s="9" t="s">
        <v>22</v>
      </c>
      <c r="F28" s="5"/>
      <c r="G28" s="10" t="s">
        <v>86</v>
      </c>
      <c r="H28" s="9" t="s">
        <v>53</v>
      </c>
      <c r="I28" s="11" t="s">
        <v>37</v>
      </c>
      <c r="J28" s="10" t="s">
        <v>87</v>
      </c>
      <c r="K28" s="9" t="s">
        <v>53</v>
      </c>
      <c r="L28" s="11" t="s">
        <v>37</v>
      </c>
      <c r="M28" s="10" t="s">
        <v>89</v>
      </c>
      <c r="N28" s="9" t="s">
        <v>53</v>
      </c>
      <c r="O28" s="11" t="s">
        <v>39</v>
      </c>
      <c r="P28" s="10"/>
      <c r="Q28" s="9" t="s">
        <v>90</v>
      </c>
      <c r="R28" s="11"/>
      <c r="T28" s="1"/>
      <c r="U28" s="1"/>
      <c r="BI28" s="2"/>
      <c r="BO28" s="1"/>
    </row>
    <row r="29" spans="1:67" ht="15.75" x14ac:dyDescent="0.25">
      <c r="A29" s="9" t="s">
        <v>80</v>
      </c>
      <c r="B29" s="9" t="s">
        <v>32</v>
      </c>
      <c r="C29" s="9" t="s">
        <v>4</v>
      </c>
      <c r="D29" s="9">
        <v>8</v>
      </c>
      <c r="E29" s="9" t="s">
        <v>22</v>
      </c>
      <c r="F29" s="5"/>
      <c r="G29" s="10" t="s">
        <v>11</v>
      </c>
      <c r="H29" s="9">
        <v>13</v>
      </c>
      <c r="I29" s="11" t="s">
        <v>8</v>
      </c>
      <c r="J29" s="10" t="s">
        <v>17</v>
      </c>
      <c r="K29" s="9">
        <v>5</v>
      </c>
      <c r="L29" s="11" t="s">
        <v>8</v>
      </c>
      <c r="M29" s="10" t="s">
        <v>24</v>
      </c>
      <c r="N29" s="9">
        <v>2</v>
      </c>
      <c r="O29" s="11" t="s">
        <v>8</v>
      </c>
      <c r="P29" s="10"/>
      <c r="Q29" s="9" t="s">
        <v>33</v>
      </c>
      <c r="R29" s="11"/>
      <c r="T29" s="1"/>
      <c r="U29" s="1"/>
      <c r="BO29" s="1"/>
    </row>
    <row r="30" spans="1:67" ht="15.75" x14ac:dyDescent="0.25">
      <c r="A30" s="9" t="s">
        <v>81</v>
      </c>
      <c r="B30" s="9" t="s">
        <v>34</v>
      </c>
      <c r="C30" s="9" t="s">
        <v>92</v>
      </c>
      <c r="D30" s="9">
        <v>13</v>
      </c>
      <c r="E30" s="9" t="s">
        <v>22</v>
      </c>
      <c r="F30" s="5"/>
      <c r="G30" s="10" t="s">
        <v>15</v>
      </c>
      <c r="H30" s="9">
        <v>5</v>
      </c>
      <c r="I30" s="11" t="s">
        <v>8</v>
      </c>
      <c r="J30" s="10" t="s">
        <v>26</v>
      </c>
      <c r="K30" s="9">
        <v>3</v>
      </c>
      <c r="L30" s="11" t="s">
        <v>8</v>
      </c>
      <c r="M30" s="10" t="s">
        <v>14</v>
      </c>
      <c r="N30" s="9">
        <v>2</v>
      </c>
      <c r="O30" s="11" t="s">
        <v>5</v>
      </c>
      <c r="P30" s="10"/>
      <c r="Q30" s="9" t="s">
        <v>12</v>
      </c>
      <c r="R30" s="11"/>
      <c r="T30" s="1"/>
      <c r="U30" s="1"/>
      <c r="V30" s="1"/>
      <c r="BO30" s="1"/>
    </row>
    <row r="31" spans="1:67" ht="16.5" thickBot="1" x14ac:dyDescent="0.3">
      <c r="A31" s="16" t="s">
        <v>82</v>
      </c>
      <c r="B31" s="16" t="s">
        <v>36</v>
      </c>
      <c r="C31" s="16" t="s">
        <v>92</v>
      </c>
      <c r="D31" s="16">
        <v>5</v>
      </c>
      <c r="E31" s="16" t="s">
        <v>22</v>
      </c>
      <c r="F31" s="5"/>
      <c r="G31" s="10" t="s">
        <v>7</v>
      </c>
      <c r="H31" s="9">
        <v>3</v>
      </c>
      <c r="I31" s="11" t="s">
        <v>8</v>
      </c>
      <c r="J31" s="10" t="s">
        <v>28</v>
      </c>
      <c r="K31" s="9">
        <v>8</v>
      </c>
      <c r="L31" s="11" t="s">
        <v>8</v>
      </c>
      <c r="M31" s="10" t="s">
        <v>10</v>
      </c>
      <c r="N31" s="9">
        <v>5</v>
      </c>
      <c r="O31" s="11" t="s">
        <v>5</v>
      </c>
      <c r="P31" s="10"/>
      <c r="Q31" s="9"/>
      <c r="R31" s="11"/>
      <c r="T31" s="1"/>
      <c r="U31" s="1"/>
      <c r="V31" s="1"/>
      <c r="BO31" s="1"/>
    </row>
    <row r="32" spans="1:67" ht="16.5" thickBot="1" x14ac:dyDescent="0.3">
      <c r="A32" s="24" t="s">
        <v>58</v>
      </c>
      <c r="B32" s="24" t="s">
        <v>23</v>
      </c>
      <c r="C32" s="24" t="s">
        <v>92</v>
      </c>
      <c r="D32" s="24">
        <v>3</v>
      </c>
      <c r="E32" s="24"/>
      <c r="F32" s="5"/>
      <c r="G32" s="10"/>
      <c r="H32" s="9"/>
      <c r="I32" s="11"/>
      <c r="J32" s="10" t="s">
        <v>16</v>
      </c>
      <c r="K32" s="9">
        <v>2</v>
      </c>
      <c r="L32" s="11" t="s">
        <v>5</v>
      </c>
      <c r="M32" s="10" t="s">
        <v>13</v>
      </c>
      <c r="N32" s="9">
        <v>3</v>
      </c>
      <c r="O32" s="11" t="s">
        <v>5</v>
      </c>
      <c r="P32" s="10"/>
      <c r="Q32" s="9"/>
      <c r="R32" s="11"/>
      <c r="T32" s="1"/>
      <c r="U32" s="1"/>
      <c r="V32" s="1"/>
      <c r="BO32" s="1"/>
    </row>
    <row r="33" spans="1:67" ht="15.75" x14ac:dyDescent="0.25">
      <c r="A33" s="5" t="s">
        <v>57</v>
      </c>
      <c r="B33" s="5" t="s">
        <v>25</v>
      </c>
      <c r="C33" s="5" t="s">
        <v>93</v>
      </c>
      <c r="D33" s="5"/>
      <c r="E33" s="5"/>
      <c r="F33" s="5"/>
      <c r="G33" s="13"/>
      <c r="H33" s="15"/>
      <c r="I33" s="14"/>
      <c r="J33" s="13"/>
      <c r="K33" s="15"/>
      <c r="L33" s="14"/>
      <c r="M33" s="13"/>
      <c r="N33" s="15"/>
      <c r="O33" s="14"/>
      <c r="P33" s="13"/>
      <c r="Q33" s="15"/>
      <c r="R33" s="14"/>
      <c r="T33" s="1"/>
      <c r="U33" s="1"/>
      <c r="BO33" s="1"/>
    </row>
    <row r="34" spans="1:67" ht="16.5" thickBot="1" x14ac:dyDescent="0.3">
      <c r="A34" s="5" t="s">
        <v>56</v>
      </c>
      <c r="B34" s="5" t="s">
        <v>33</v>
      </c>
      <c r="C34" s="5" t="s">
        <v>93</v>
      </c>
      <c r="D34" s="5"/>
      <c r="E34" s="5"/>
      <c r="F34" s="5"/>
      <c r="G34" s="21" t="s">
        <v>91</v>
      </c>
      <c r="H34" s="22">
        <f>SUM(H29:H31)</f>
        <v>21</v>
      </c>
      <c r="I34" s="23"/>
      <c r="J34" s="21" t="s">
        <v>91</v>
      </c>
      <c r="K34" s="22">
        <f>SUM(K29:K32)</f>
        <v>18</v>
      </c>
      <c r="L34" s="23"/>
      <c r="M34" s="21" t="s">
        <v>91</v>
      </c>
      <c r="N34" s="22">
        <f>SUM(N29:N32)</f>
        <v>12</v>
      </c>
      <c r="O34" s="23"/>
      <c r="P34" s="21"/>
      <c r="Q34" s="22"/>
      <c r="R34" s="23"/>
      <c r="T34" s="1"/>
      <c r="U34" s="1"/>
      <c r="V34" s="1"/>
      <c r="BO34" s="1"/>
    </row>
    <row r="36" spans="1:67" x14ac:dyDescent="0.25">
      <c r="A36" t="s">
        <v>50</v>
      </c>
      <c r="D36">
        <f>SUM(D5:D34)</f>
        <v>130</v>
      </c>
    </row>
  </sheetData>
  <sortState xmlns:xlrd2="http://schemas.microsoft.com/office/spreadsheetml/2017/richdata2" ref="A2:E34">
    <sortCondition ref="E2:E34"/>
  </sortState>
  <mergeCells count="2">
    <mergeCell ref="A2:E3"/>
    <mergeCell ref="G19:K20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7855545-00bb-4800-a65f-e79104ec0fc4}" enabled="0" method="" siteId="{47855545-00bb-4800-a65f-e79104ec0f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TITI SAKA</dc:creator>
  <cp:lastModifiedBy>TITI SAKA - STUDENT</cp:lastModifiedBy>
  <dcterms:created xsi:type="dcterms:W3CDTF">2026-03-11T16:29:37Z</dcterms:created>
  <dcterms:modified xsi:type="dcterms:W3CDTF">2026-03-11T18:24:53Z</dcterms:modified>
</cp:coreProperties>
</file>